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bf746e022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1ec306be23b4da5"/>
    <x:sheet xmlns:r="http://schemas.openxmlformats.org/officeDocument/2006/relationships" name="Job Tracker" sheetId="2" r:id="R6edbb85df57d4e6d"/>
    <x:sheet xmlns:r="http://schemas.openxmlformats.org/officeDocument/2006/relationships" name="Role Summary" sheetId="3" r:id="Re2cdb7ef69d843ee"/>
    <x:sheet xmlns:r="http://schemas.openxmlformats.org/officeDocument/2006/relationships" name="Skill Summary" sheetId="4" r:id="R4400969e3258423b"/>
    <x:sheet xmlns:r="http://schemas.openxmlformats.org/officeDocument/2006/relationships" name="Learning Plan" sheetId="5" r:id="Rb8e78bcb5f26492e"/>
    <x:sheet xmlns:r="http://schemas.openxmlformats.org/officeDocument/2006/relationships" name="Sources" sheetId="6" r:id="Rdf9ebc9939b0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color rgb="17365D"/>
      <x:name val="Carlito"/>
    </x:font>
    <x:font>
      <x:b/>
      <x:sz val="11"/>
      <x:color rgb="17365D"/>
      <x:name val="Carlito"/>
    </x:font>
    <x:font>
      <x:b/>
      <x:sz val="18"/>
      <x:color rgb="17365D"/>
      <x:name val="Carlito"/>
    </x:font>
    <x:font>
      <x:i/>
      <x:sz val="11"/>
      <x:color rgb="7F6000"/>
      <x:name val="Carlito"/>
    </x:font>
    <x:font>
      <x:sz val="11"/>
      <x:color rgb="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F3F8FC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375623"/>
      </x:font>
      <x:fill>
        <x:patternFill patternType="solid">
          <x:bgColor rgb="E2F0D9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8423cfa444604" /><Relationship Type="http://schemas.openxmlformats.org/officeDocument/2006/relationships/theme" Target="/xl/theme/theme1.xml" Id="R57ea37fa42c54ca0" /><Relationship Type="http://schemas.openxmlformats.org/officeDocument/2006/relationships/sharedStrings" Target="/xl/sharedStrings.xml" Id="R59e47fce4f23415f" /><Relationship Type="http://schemas.openxmlformats.org/officeDocument/2006/relationships/worksheet" Target="/xl/worksheets/sheet1.xml" Id="R21ec306be23b4da5" /><Relationship Type="http://schemas.openxmlformats.org/officeDocument/2006/relationships/worksheet" Target="/xl/worksheets/sheet2.xml" Id="R6edbb85df57d4e6d" /><Relationship Type="http://schemas.openxmlformats.org/officeDocument/2006/relationships/worksheet" Target="/xl/worksheets/sheet3.xml" Id="Re2cdb7ef69d843ee" /><Relationship Type="http://schemas.openxmlformats.org/officeDocument/2006/relationships/worksheet" Target="/xl/worksheets/sheet4.xml" Id="R4400969e3258423b" /><Relationship Type="http://schemas.openxmlformats.org/officeDocument/2006/relationships/worksheet" Target="/xl/worksheets/sheet5.xml" Id="Rb8e78bcb5f26492e" /><Relationship Type="http://schemas.openxmlformats.org/officeDocument/2006/relationships/worksheet" Target="/xl/worksheets/sheet6.xml" Id="Rdf9ebc9939b044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1b725aaa214b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Verified postings collected by role family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Verified Postings Collected</c:v>
          </c:tx>
          <c:cat>
            <c:strRef>
              <c:f>'Role Summary'!$A$2:$A$11</c:f>
              <c:strCache>
                <c:ptCount val="0"/>
              </c:strCache>
            </c:strRef>
          </c:cat>
          <c:val>
            <c:numRef>
              <c:f>'Role Summary'!$B$2:$B$11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1b725aaa214b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obTrackerTable" displayName="JobTrackerTable" ref="A1:Q11" headerRowCount="1">
  <x:tableColumns count="17">
    <x:tableColumn id="1" name="Target Role"/>
    <x:tableColumn id="2" name="Real Job Title"/>
    <x:tableColumn id="3" name="Company"/>
    <x:tableColumn id="4" name="Country / Remote"/>
    <x:tableColumn id="5" name="Source URL"/>
    <x:tableColumn id="6" name="Skills Required"/>
    <x:tableColumn id="7" name="Tools Mentioned"/>
    <x:tableColumn id="8" name="Years Experience"/>
    <x:tableColumn id="9" name="Degree Required"/>
    <x:tableColumn id="10" name="Cybersecurity Mentioned?"/>
    <x:tableColumn id="11" name="AI / ML Mentioned?"/>
    <x:tableColumn id="12" name="Cloud Mentioned?"/>
    <x:tableColumn id="13" name="Beginner Reality"/>
    <x:tableColumn id="14" name="Can I Target Now?"/>
    <x:tableColumn id="15" name="Start Learning Task"/>
    <x:tableColumn id="16" name="Checked Date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oleSummaryTable" displayName="RoleSummaryTable" ref="A1:C11" headerRowCount="1">
  <x:tableColumns count="3">
    <x:tableColumn id="1" name="Target Role Family"/>
    <x:tableColumn id="2" name="Verified Postings Collected"/>
    <x:tableColumn id="3" name="Strongest Recurring Signals"/>
  </x:tableColumns>
  <x:tableStyleInfo name="TableStyleMedium2" showRowStripes="1"/>
</x:table>
</file>

<file path=xl/tables/table3.xml><?xml version="1.0" encoding="utf-8"?>
<x:table xmlns:x="http://schemas.openxmlformats.org/spreadsheetml/2006/main" id="3" name="SkillSummaryTable" displayName="SkillSummaryTable" ref="A1:D13" headerRowCount="1">
  <x:tableColumns count="4">
    <x:tableColumn id="1" name="Skill / Tool"/>
    <x:tableColumn id="2" name="Why It Matters"/>
    <x:tableColumn id="3" name="Priority"/>
    <x:tableColumn id="4" name="Practice Output"/>
  </x:tableColumns>
  <x:tableStyleInfo name="TableStyleMedium2" showRowStripes="1"/>
</x:table>
</file>

<file path=xl/tables/table4.xml><?xml version="1.0" encoding="utf-8"?>
<x:table xmlns:x="http://schemas.openxmlformats.org/spreadsheetml/2006/main" id="4" name="LearningPlanTable" displayName="LearningPlanTable" ref="A1:D6" headerRowCount="1">
  <x:tableColumns count="4">
    <x:tableColumn id="1" name="Period"/>
    <x:tableColumn id="2" name="Main Focus"/>
    <x:tableColumn id="3" name="What To Build"/>
    <x:tableColumn id="4" name="Portfolio Evidence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C13" headerRowCount="1">
  <x:tableColumns count="3">
    <x:tableColumn id="1" name="Reference"/>
    <x:tableColumn id="2" name="URL"/>
    <x:tableColumn id="3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979163ab2a46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273c10bacd74aed" /><Relationship Type="http://schemas.openxmlformats.org/officeDocument/2006/relationships/table" Target="/xl/tables/table2.xml" Id="Rc8ca5bd9667347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a348eb1dc24f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672b1851d04b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33d3ee3fe9452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1" t="str">
        <x:v>AI Career Job Market Tracker</x:v>
      </x:c>
      <x:c r="B1" s="21"/>
      <x:c r="C1" s="21"/>
      <x:c r="D1" s="21"/>
      <x:c r="E1" s="21"/>
      <x:c r="F1" s="21"/>
      <x:c r="G1" s="21"/>
      <x:c r="H1" s="21"/>
    </x:row>
    <x:row r="2" ht="32" customHeight="1">
      <x:c r="A2" s="30" t="str">
        <x:v>A practical tracker of real job postings, repeated skills, and what to build before graduation.</x:v>
      </x:c>
      <x:c r="B2" s="30"/>
      <x:c r="C2" s="30"/>
      <x:c r="D2" s="30"/>
      <x:c r="E2" s="30"/>
      <x:c r="F2" s="30"/>
      <x:c r="G2" s="30"/>
      <x:c r="H2" s="30"/>
    </x:row>
    <x:row r="4">
      <x:c r="A4" s="38" t="str">
        <x:v>Total tracked jobs</x:v>
      </x:c>
      <x:c r="B4" s="38"/>
      <x:c r="C4" s="38" t="str">
        <x:v>AI / ML jobs</x:v>
      </x:c>
      <x:c r="D4" s="38"/>
      <x:c r="E4" s="38" t="str">
        <x:v>Cloud mentioned</x:v>
      </x:c>
      <x:c r="F4" s="38"/>
      <x:c r="G4" s="38" t="str">
        <x:v>Cybersecurity mentioned</x:v>
      </x:c>
      <x:c r="H4" s="38"/>
    </x:row>
    <x:row r="5">
      <x:c r="A5" s="45" t="n">
        <x:f>COUNTA('Job Tracker'!A2:A11)</x:f>
        <x:v>10</x:v>
      </x:c>
      <x:c r="B5" s="45"/>
      <x:c r="C5" s="45" t="n">
        <x:f>COUNTIF('Job Tracker'!K2:K11,"Yes")+COUNTIF('Job Tracker'!K2:K11,"AI-adjacent")+COUNTIF('Job Tracker'!K2:K11,"Yes / AI-adjacent")</x:f>
        <x:v>5</x:v>
      </x:c>
      <x:c r="D5" s="45"/>
      <x:c r="E5" s="45" t="n">
        <x:f>COUNTIF('Job Tracker'!L2:L11,"Yes")+COUNTIF('Job Tracker'!L2:L11,"Yes / SaaS")</x:f>
        <x:v>4</x:v>
      </x:c>
      <x:c r="F5" s="45"/>
      <x:c r="G5" s="45" t="n">
        <x:f>COUNTIF('Job Tracker'!J2:J11,"Yes")+COUNTIF('Job Tracker'!J2:J11,"Security awareness helpful")+COUNTIF('Job Tracker'!J2:J11,"Basic security awareness")</x:f>
        <x:v>5</x:v>
      </x:c>
      <x:c r="H5" s="45"/>
    </x:row>
    <x:row r="7">
      <x:c r="A7" s="6" t="str">
        <x:v>Today’s Practical Focus</x:v>
      </x:c>
      <x:c r="B7" s="6"/>
      <x:c r="C7" s="6"/>
      <x:c r="D7" s="6"/>
      <x:c r="E7" s="6"/>
      <x:c r="F7" s="6"/>
      <x:c r="G7" s="6"/>
      <x:c r="H7" s="6"/>
    </x:row>
    <x:row r="8" ht="30" customHeight="1">
      <x:c r="A8" s="62" t="str">
        <x:v>1</x:v>
      </x:c>
      <x:c r="B8" s="66" t="str">
        <x:v>Do not just read job posts. Build proof from them.</x:v>
      </x:c>
      <x:c r="C8" s="15"/>
      <x:c r="D8" s="15"/>
      <x:c r="E8" s="15"/>
      <x:c r="F8" s="15"/>
      <x:c r="G8" s="15"/>
      <x:c r="H8" s="15"/>
    </x:row>
    <x:row r="9" ht="30" customHeight="1">
      <x:c r="A9" s="62" t="str">
        <x:v>2</x:v>
      </x:c>
      <x:c r="B9" s="66" t="str">
        <x:v>Start with Python + SQL + Git + APIs before trying to master everything in AI.</x:v>
      </x:c>
      <x:c r="C9" s="15"/>
      <x:c r="D9" s="15"/>
      <x:c r="E9" s="15"/>
      <x:c r="F9" s="15"/>
      <x:c r="G9" s="15"/>
      <x:c r="H9" s="15"/>
    </x:row>
    <x:row r="10" ht="30" customHeight="1">
      <x:c r="A10" s="62" t="str">
        <x:v>3</x:v>
      </x:c>
      <x:c r="B10" s="66" t="str">
        <x:v>Your first portfolio project should be a job-skills tracker/dashboard based on the rows in this workbook.</x:v>
      </x:c>
      <x:c r="C10" s="15"/>
      <x:c r="D10" s="15"/>
      <x:c r="E10" s="15"/>
      <x:c r="F10" s="15"/>
      <x:c r="G10" s="15"/>
      <x:c r="H10" s="15"/>
    </x:row>
    <x:row r="11" ht="30" customHeight="1">
      <x:c r="A11" s="62" t="str">
        <x:v>4</x:v>
      </x:c>
      <x:c r="B11" s="66" t="str">
        <x:v>Every week: one GitHub commit, one note, one small feature, or one demo.</x:v>
      </x:c>
      <x:c r="C11" s="15"/>
      <x:c r="D11" s="15"/>
      <x:c r="E11" s="15"/>
      <x:c r="F11" s="15"/>
      <x:c r="G11" s="15"/>
      <x:c r="H11" s="15"/>
    </x:row>
    <x:row r="12" ht="30" customHeight="1">
      <x:c r="A12" s="62" t="str">
        <x:v>5</x:v>
      </x:c>
      <x:c r="B12" s="66" t="str">
        <x:v>Use the Job Tracker sheet to choose what to learn next based on real market demand.</x:v>
      </x:c>
      <x:c r="C12" s="15"/>
      <x:c r="D12" s="15"/>
      <x:c r="E12" s="15"/>
      <x:c r="F12" s="15"/>
      <x:c r="G12" s="15"/>
      <x:c r="H12" s="15"/>
    </x:row>
    <x:row r="13">
      <x:c r="A13" s="50"/>
      <x:c r="B13" s="50"/>
      <x:c r="C13" s="50"/>
      <x:c r="D13" s="50"/>
      <x:c r="E13" s="50"/>
      <x:c r="F13" s="50"/>
      <x:c r="G13" s="50"/>
      <x:c r="H13" s="50"/>
    </x:row>
    <x:row r="14">
      <x:c r="A14" s="14" t="str">
        <x:v>Priority Stack To Learn First</x:v>
      </x:c>
      <x:c r="B14" s="14"/>
      <x:c r="C14" s="14"/>
      <x:c r="D14" s="14"/>
      <x:c r="E14" s="14"/>
      <x:c r="F14" s="14"/>
      <x:c r="G14" s="14"/>
      <x:c r="H14" s="14"/>
    </x:row>
    <x:row r="15">
      <x:c r="A15" s="15" t="str">
        <x:v>1</x:v>
      </x:c>
      <x:c r="B15" s="15" t="str">
        <x:v>Python</x:v>
      </x:c>
      <x:c r="C15" s="15" t="str">
        <x:v>2</x:v>
      </x:c>
      <x:c r="D15" s="15" t="str">
        <x:v>SQL</x:v>
      </x:c>
      <x:c r="E15" s="15" t="str">
        <x:v>3</x:v>
      </x:c>
      <x:c r="F15" s="15" t="str">
        <x:v>Git/GitHub</x:v>
      </x:c>
      <x:c r="G15" s="15" t="str">
        <x:v>4</x:v>
      </x:c>
      <x:c r="H15" s="15" t="str">
        <x:v>Linux</x:v>
      </x:c>
    </x:row>
    <x:row r="16">
      <x:c r="A16" s="15" t="str">
        <x:v>5</x:v>
      </x:c>
      <x:c r="B16" s="15" t="str">
        <x:v>REST APIs</x:v>
      </x:c>
      <x:c r="C16" s="15" t="str">
        <x:v>6</x:v>
      </x:c>
      <x:c r="D16" s="15" t="str">
        <x:v>Cloud basics</x:v>
      </x:c>
      <x:c r="E16" s="15" t="str">
        <x:v>7</x:v>
      </x:c>
      <x:c r="F16" s="15" t="str">
        <x:v>Docker</x:v>
      </x:c>
      <x:c r="G16" s="15" t="str">
        <x:v>8</x:v>
      </x:c>
      <x:c r="H16" s="15" t="str">
        <x:v>RAG</x:v>
      </x:c>
    </x:row>
    <x:row r="17">
      <x:c r="A17" s="15" t="str">
        <x:v>9</x:v>
      </x:c>
      <x:c r="B17" s="15" t="str">
        <x:v>Cybersecurity basics</x:v>
      </x:c>
      <x:c r="C17" s="15" t="str">
        <x:v>10</x:v>
      </x:c>
      <x:c r="D17" s="15" t="str">
        <x:v>Documentation</x:v>
      </x:c>
      <x:c r="E17" s="15" t="str">
        <x:v>11</x:v>
      </x:c>
      <x:c r="F17" s="15" t="str">
        <x:v>Troubleshooting</x:v>
      </x:c>
      <x:c r="G17" s="15" t="str">
        <x:v>12</x:v>
      </x:c>
      <x:c r="H17" s="15" t="str">
        <x:v>Dashboards</x:v>
      </x:c>
    </x:row>
    <x:row r="18" ht="30" customHeight="1">
      <x:c r="A18" s="68" t="str">
        <x:v>Output</x:v>
      </x:c>
      <x:c r="B18" s="15" t="str">
        <x:v>Build small working systems, not just notes.</x:v>
      </x:c>
      <x:c r="C18" s="15"/>
      <x:c r="D18" s="15"/>
      <x:c r="E18" s="15"/>
      <x:c r="F18" s="15"/>
      <x:c r="G18" s="15"/>
      <x:c r="H18" s="15"/>
    </x:row>
    <x:row r="20">
      <x:c r="A20" s="56" t="str">
        <x:v>Source note: Job rows are based on the research report created in this chat and include source URLs so you can verify/update each listing before applying.</x:v>
      </x:c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7:H7"/>
    <x:mergeCell ref="A14:H14"/>
    <x:mergeCell ref="A20:H20"/>
    <x:mergeCell ref="B8:H8"/>
    <x:mergeCell ref="B9:H9"/>
    <x:mergeCell ref="B10:H10"/>
    <x:mergeCell ref="B11:H11"/>
    <x:mergeCell ref="B12:H12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24" hidden="0" customWidth="1"/>
    <x:col min="5" max="5" width="42" hidden="0" customWidth="1"/>
    <x:col min="6" max="6" width="45" hidden="0" customWidth="1"/>
    <x:col min="7" max="7" width="40" hidden="0" customWidth="1"/>
    <x:col min="8" max="8" width="20" hidden="0" customWidth="1"/>
    <x:col min="9" max="9" width="26" hidden="0" customWidth="1"/>
    <x:col min="10" max="10" width="20" hidden="0" customWidth="1"/>
    <x:col min="11" max="11" width="18" hidden="0" customWidth="1"/>
    <x:col min="12" max="12" width="18" hidden="0" customWidth="1"/>
    <x:col min="13" max="13" width="32" hidden="0" customWidth="1"/>
    <x:col min="14" max="14" width="24" hidden="0" customWidth="1"/>
    <x:col min="15" max="15" width="42" hidden="0" customWidth="1"/>
    <x:col min="16" max="16" width="14" hidden="0" customWidth="1"/>
    <x:col min="17" max="17" width="42" hidden="0" customWidth="1"/>
  </x:cols>
  <x:sheetData>
    <x:row r="1" ht="42" customHeight="1">
      <x:c r="A1" s="14" t="str">
        <x:v>Target Role</x:v>
      </x:c>
      <x:c r="B1" s="14" t="str">
        <x:v>Real Job Title</x:v>
      </x:c>
      <x:c r="C1" s="14" t="str">
        <x:v>Company</x:v>
      </x:c>
      <x:c r="D1" s="14" t="str">
        <x:v>Country / Remote</x:v>
      </x:c>
      <x:c r="E1" s="14" t="str">
        <x:v>Source URL</x:v>
      </x:c>
      <x:c r="F1" s="14" t="str">
        <x:v>Skills Required</x:v>
      </x:c>
      <x:c r="G1" s="14" t="str">
        <x:v>Tools Mentioned</x:v>
      </x:c>
      <x:c r="H1" s="14" t="str">
        <x:v>Years Experience</x:v>
      </x:c>
      <x:c r="I1" s="14" t="str">
        <x:v>Degree Required</x:v>
      </x:c>
      <x:c r="J1" s="14" t="str">
        <x:v>Cybersecurity Mentioned?</x:v>
      </x:c>
      <x:c r="K1" s="14" t="str">
        <x:v>AI / ML Mentioned?</x:v>
      </x:c>
      <x:c r="L1" s="14" t="str">
        <x:v>Cloud Mentioned?</x:v>
      </x:c>
      <x:c r="M1" s="14" t="str">
        <x:v>Beginner Reality</x:v>
      </x:c>
      <x:c r="N1" s="14" t="str">
        <x:v>Can I Target Now?</x:v>
      </x:c>
      <x:c r="O1" s="14" t="str">
        <x:v>Start Learning Task</x:v>
      </x:c>
      <x:c r="P1" s="14" t="str">
        <x:v>Checked Date</x:v>
      </x:c>
      <x:c r="Q1" s="14" t="str">
        <x:v>Notes</x:v>
      </x:c>
    </x:row>
    <x:row r="2" ht="42" customHeight="1">
      <x:c r="A2" s="15" t="str">
        <x:v>Junior AI Engineer</x:v>
      </x:c>
      <x:c r="B2" s="15" t="str">
        <x:v>Junior AI Engineer</x:v>
      </x:c>
      <x:c r="C2" s="15" t="str">
        <x:v>Onto Innovation</x:v>
      </x:c>
      <x:c r="D2" s="15" t="str">
        <x:v>United States / LinkedIn listing</x:v>
      </x:c>
      <x:c r="E2" s="15" t="str">
        <x:v>https://www.linkedin.com/jobs/view/junior-ai-engineer-at-onto-innovation-4310893067</x:v>
      </x:c>
      <x:c r="F2" s="15" t="str">
        <x:v>Python; RAG pipelines; vector search; LLM integration; evaluation tooling; backend/API thinking; documentation</x:v>
      </x:c>
      <x:c r="G2" s="15" t="str">
        <x:v>Python; RAG; vector search; Docker; Linux; Git; evaluation tools</x:v>
      </x:c>
      <x:c r="H2" s="15" t="str">
        <x:v>Junior / early-career signal; exact requirement may vary</x:v>
      </x:c>
      <x:c r="I2" s="15" t="str">
        <x:v>Usually CS/IT/engineering or equivalent practical experience</x:v>
      </x:c>
      <x:c r="J2" s="15" t="str">
        <x:v>No</x:v>
      </x:c>
      <x:c r="K2" s="15" t="str">
        <x:v>Yes</x:v>
      </x:c>
      <x:c r="L2" s="15" t="str">
        <x:v>Possibly</x:v>
      </x:c>
      <x:c r="M2" s="15" t="str">
        <x:v>Good AI benchmark, but you need portfolio proof.</x:v>
      </x:c>
      <x:c r="N2" s="15" t="str">
        <x:v>Target after 2-3 strong projects</x:v>
      </x:c>
      <x:c r="O2" s="15" t="str">
        <x:v>Build a small RAG chatbot that answers from PDFs and shows sources.</x:v>
      </x:c>
      <x:c r="P2" s="52" t="n">
        <x:v>46182</x:v>
      </x:c>
      <x:c r="Q2" s="15" t="str">
        <x:v>Research report notes this role leans on RAG, vector search, Docker, Linux, Git, and evaluation tooling.</x:v>
      </x:c>
    </x:row>
    <x:row r="3" ht="42" customHeight="1">
      <x:c r="A3" s="15" t="str">
        <x:v>Junior Data Analyst</x:v>
      </x:c>
      <x:c r="B3" s="15" t="str">
        <x:v>Junior Data Analyst</x:v>
      </x:c>
      <x:c r="C3" s="15" t="str">
        <x:v>Rystad Energy</x:v>
      </x:c>
      <x:c r="D3" s="15" t="str">
        <x:v>Trinidad and Tobago / LinkedIn listing</x:v>
      </x:c>
      <x:c r="E3" s="15" t="str">
        <x:v>https://tt.linkedin.com/jobs/view/junior-data-analyst-at-rystad-energy-4083814581</x:v>
      </x:c>
      <x:c r="F3" s="15" t="str">
        <x:v>Reporting; dashboards; analytics; Excel/SQL; data accuracy; business insight; communication</x:v>
      </x:c>
      <x:c r="G3" s="15" t="str">
        <x:v>Excel; SQL; Power BI or Tableau; spreadsheets; dashboards</x:v>
      </x:c>
      <x:c r="H3" s="15" t="str">
        <x:v>Junior / entry-level signal</x:v>
      </x:c>
      <x:c r="I3" s="15" t="str">
        <x:v>BSc IT, data, business, or related field often useful</x:v>
      </x:c>
      <x:c r="J3" s="15" t="str">
        <x:v>No</x:v>
      </x:c>
      <x:c r="K3" s="15" t="str">
        <x:v>Possibly</x:v>
      </x:c>
      <x:c r="L3" s="15" t="str">
        <x:v>No</x:v>
      </x:c>
      <x:c r="M3" s="15" t="str">
        <x:v>Best beginner-friendly bridge into AI/data.</x:v>
      </x:c>
      <x:c r="N3" s="15" t="str">
        <x:v>Target now with practice</x:v>
      </x:c>
      <x:c r="O3" s="15" t="str">
        <x:v>Make a dashboard from 30 job postings and summarize the top skills.</x:v>
      </x:c>
      <x:c r="P3" s="52" t="n">
        <x:v>46182</x:v>
      </x:c>
      <x:c r="Q3" s="15" t="str">
        <x:v>Role-family summary in the report shows junior data roles repeat reporting, dashboards, analytics, SQL/Excel, and business insight.</x:v>
      </x:c>
    </x:row>
    <x:row r="4" ht="42" customHeight="1">
      <x:c r="A4" s="15" t="str">
        <x:v>Machine Learning Engineer Intern</x:v>
      </x:c>
      <x:c r="B4" s="15" t="str">
        <x:v>Machine Learning Engineer Intern - Monetization Technology Ads Creative AI, 2026 Summer BS/MS</x:v>
      </x:c>
      <x:c r="C4" s="15" t="str">
        <x:v>TikTok</x:v>
      </x:c>
      <x:c r="D4" s="15" t="str">
        <x:v>United States / internship listing</x:v>
      </x:c>
      <x:c r="E4" s="15" t="str">
        <x:v>https://www.linkedin.com/jobs/view/machine-learning-engineer-intern-monetization-technology-ads-creative-ai-2026-summer-bs-ms-at-tiktok-4281378727</x:v>
      </x:c>
      <x:c r="F4" s="15" t="str">
        <x:v>ML coding; experimentation; model engineering; data structures; ads/search/recommendation systems; evaluation</x:v>
      </x:c>
      <x:c r="G4" s="15" t="str">
        <x:v>Python; PyTorch or TensorFlow; notebooks; SQL; Git; experiment tracking</x:v>
      </x:c>
      <x:c r="H4" s="15" t="str">
        <x:v>Internship / student role</x:v>
      </x:c>
      <x:c r="I4" s="15" t="str">
        <x:v>BS/MS student or related technical degree path</x:v>
      </x:c>
      <x:c r="J4" s="15" t="str">
        <x:v>No</x:v>
      </x:c>
      <x:c r="K4" s="15" t="str">
        <x:v>Yes</x:v>
      </x:c>
      <x:c r="L4" s="15" t="str">
        <x:v>Possibly</x:v>
      </x:c>
      <x:c r="M4" s="15" t="str">
        <x:v>Strong internship target if your fundamentals and GitHub are visible.</x:v>
      </x:c>
      <x:c r="N4" s="15" t="str">
        <x:v>Target after ML basics</x:v>
      </x:c>
      <x:c r="O4" s="15" t="str">
        <x:v>Complete one ML notebook project and explain the model results in a README.</x:v>
      </x:c>
      <x:c r="P4" s="52" t="n">
        <x:v>46182</x:v>
      </x:c>
      <x:c r="Q4" s="15" t="str">
        <x:v>The research report identifies TikTok ML internships as real entry points for students.</x:v>
      </x:c>
    </x:row>
    <x:row r="5" ht="42" customHeight="1">
      <x:c r="A5" s="15" t="str">
        <x:v>AI Software Developer</x:v>
      </x:c>
      <x:c r="B5" s="15" t="str">
        <x:v>Software Engineer – Applied AI Prototyping Engineer, Entry Level</x:v>
      </x:c>
      <x:c r="C5" s="15" t="str">
        <x:v>SolidCAM GmbH</x:v>
      </x:c>
      <x:c r="D5" s="15" t="str">
        <x:v>LinkedIn listing / entry-level signal</x:v>
      </x:c>
      <x:c r="E5" s="15" t="str">
        <x:v>https://www.linkedin.com/jobs/view/software-engineer-%E2%80%93-applied-ai-prototyping-engineer-entry-level-at-solidcam-gmbh-4401827536</x:v>
      </x:c>
      <x:c r="F5" s="15" t="str">
        <x:v>Applied AI prototyping; prompt workflows; LLM APIs; API integration; rapid experimentation; delivery</x:v>
      </x:c>
      <x:c r="G5" s="15" t="str">
        <x:v>Python; LLM APIs; Git; REST APIs; possible Docker/cloud tools</x:v>
      </x:c>
      <x:c r="H5" s="15" t="str">
        <x:v>Entry-level listed</x:v>
      </x:c>
      <x:c r="I5" s="15" t="str">
        <x:v>Software/IT/engineering background helpful</x:v>
      </x:c>
      <x:c r="J5" s="15" t="str">
        <x:v>No</x:v>
      </x:c>
      <x:c r="K5" s="15" t="str">
        <x:v>Yes</x:v>
      </x:c>
      <x:c r="L5" s="15" t="str">
        <x:v>Possibly</x:v>
      </x:c>
      <x:c r="M5" s="15" t="str">
        <x:v>Very relevant to your AI-agent/app-building path.</x:v>
      </x:c>
      <x:c r="N5" s="15" t="str">
        <x:v>Target after API + AI project</x:v>
      </x:c>
      <x:c r="O5" s="15" t="str">
        <x:v>Build an AI assistant that calls a real API and logs each request safely.</x:v>
      </x:c>
      <x:c r="P5" s="52" t="n">
        <x:v>46182</x:v>
      </x:c>
      <x:c r="Q5" s="15" t="str">
        <x:v>The report highlights this as an entry-level applied-AI prototyping role.</x:v>
      </x:c>
    </x:row>
    <x:row r="6" ht="42" customHeight="1">
      <x:c r="A6" s="15" t="str">
        <x:v>Cybersecurity Analyst</x:v>
      </x:c>
      <x:c r="B6" s="15" t="str">
        <x:v>IT Compliance / Cybersecurity Analyst, Financial Service, 2026 Graduate</x:v>
      </x:c>
      <x:c r="C6" s="15" t="str">
        <x:v>Shopee</x:v>
      </x:c>
      <x:c r="D6" s="15" t="str">
        <x:v>Singapore / graduate listing</x:v>
      </x:c>
      <x:c r="E6" s="15" t="str">
        <x:v>https://sg.linkedin.com/jobs/view/it-compliance-cybersecurity-analyst-financial-service-2026-graduate-at-shopee-4278177431</x:v>
      </x:c>
      <x:c r="F6" s="15" t="str">
        <x:v>IT compliance; security controls; risk awareness; identity/access thinking; documentation; audit discipline</x:v>
      </x:c>
      <x:c r="G6" s="15" t="str">
        <x:v>IAM concepts; security policies; ticketing; logs; compliance documentation</x:v>
      </x:c>
      <x:c r="H6" s="15" t="str">
        <x:v>Graduate role</x:v>
      </x:c>
      <x:c r="I6" s="15" t="str">
        <x:v>IT, cybersecurity, computer science, or related degree path</x:v>
      </x:c>
      <x:c r="J6" s="15" t="str">
        <x:v>Yes</x:v>
      </x:c>
      <x:c r="K6" s="15" t="str">
        <x:v>No</x:v>
      </x:c>
      <x:c r="L6" s="15" t="str">
        <x:v>Possibly</x:v>
      </x:c>
      <x:c r="M6" s="15" t="str">
        <x:v>Good proof that graduate cyber routes exist.</x:v>
      </x:c>
      <x:c r="N6" s="15" t="str">
        <x:v>Target after cyber basics</x:v>
      </x:c>
      <x:c r="O6" s="15" t="str">
        <x:v>Write a threat model for one of your AI projects: risks, controls, logs, secrets.</x:v>
      </x:c>
      <x:c r="P6" s="52" t="n">
        <x:v>46182</x:v>
      </x:c>
      <x:c r="Q6" s="15" t="str">
        <x:v>The report identifies Shopee graduate analytics and cybersecurity roles as real entry points.</x:v>
      </x:c>
    </x:row>
    <x:row r="7" ht="42" customHeight="1">
      <x:c r="A7" s="15" t="str">
        <x:v>IT Support Analyst</x:v>
      </x:c>
      <x:c r="B7" s="15" t="str">
        <x:v>Technical Support Engineer</x:v>
      </x:c>
      <x:c r="C7" s="15" t="str">
        <x:v>Panopto</x:v>
      </x:c>
      <x:c r="D7" s="15" t="str">
        <x:v>Lever listing / support role</x:v>
      </x:c>
      <x:c r="E7" s="15" t="str">
        <x:v>https://jobs.lever.co/panopto/4c4fe959-597b-493f-bc08-a3a268153a32</x:v>
      </x:c>
      <x:c r="F7" s="15" t="str">
        <x:v>Troubleshooting; customer communication; ticket handling; documentation; escalation; SaaS support</x:v>
      </x:c>
      <x:c r="G7" s="15" t="str">
        <x:v>Ticketing system; logs; browser/dev tools; remote support tools; knowledge base</x:v>
      </x:c>
      <x:c r="H7" s="15" t="str">
        <x:v>Entry to mid-level depending on listing</x:v>
      </x:c>
      <x:c r="I7" s="15" t="str">
        <x:v>Degree not always required, but BSc IT helps</x:v>
      </x:c>
      <x:c r="J7" s="15" t="str">
        <x:v>Basic security awareness</x:v>
      </x:c>
      <x:c r="K7" s="15" t="str">
        <x:v>No</x:v>
      </x:c>
      <x:c r="L7" s="15" t="str">
        <x:v>Yes / SaaS</x:v>
      </x:c>
      <x:c r="M7" s="15" t="str">
        <x:v>Realistic first tech job route while building AI skills.</x:v>
      </x:c>
      <x:c r="N7" s="15" t="str">
        <x:v>Target now with support prep</x:v>
      </x:c>
      <x:c r="O7" s="15" t="str">
        <x:v>Create a mock help-desk log: issue, diagnosis, fix, prevention, user message.</x:v>
      </x:c>
      <x:c r="P7" s="52" t="n">
        <x:v>46182</x:v>
      </x:c>
      <x:c r="Q7" s="15" t="str">
        <x:v>The report connects support roles with troubleshooting, observability, client communication, and documentation.</x:v>
      </x:c>
    </x:row>
    <x:row r="8" ht="42" customHeight="1">
      <x:c r="A8" s="15" t="str">
        <x:v>Data Engineer</x:v>
      </x:c>
      <x:c r="B8" s="15" t="str">
        <x:v>Entry-Level Data Engineer</x:v>
      </x:c>
      <x:c r="C8" s="15" t="str">
        <x:v>Emonics LLC</x:v>
      </x:c>
      <x:c r="D8" s="15" t="str">
        <x:v>United States / LinkedIn listing</x:v>
      </x:c>
      <x:c r="E8" s="15" t="str">
        <x:v>https://www.linkedin.com/jobs/view/entry-level-data-engineer-at-emonics-llc-4424426853</x:v>
      </x:c>
      <x:c r="F8" s="15" t="str">
        <x:v>SQL; Python; ETL/ELT; data pipelines; data modeling; data quality; cloud data systems</x:v>
      </x:c>
      <x:c r="G8" s="15" t="str">
        <x:v>Python; SQL; Spark or Databricks; dbt/Airflow; Git; cloud warehouse</x:v>
      </x:c>
      <x:c r="H8" s="15" t="str">
        <x:v>Entry-level listed</x:v>
      </x:c>
      <x:c r="I8" s="15" t="str">
        <x:v>BSc IT, CS, data, or equivalent practical experience</x:v>
      </x:c>
      <x:c r="J8" s="15" t="str">
        <x:v>No</x:v>
      </x:c>
      <x:c r="K8" s="15" t="str">
        <x:v>Possibly</x:v>
      </x:c>
      <x:c r="L8" s="15" t="str">
        <x:v>Yes</x:v>
      </x:c>
      <x:c r="M8" s="15" t="str">
        <x:v>Excellent bridge into AI because AI needs clean data pipelines.</x:v>
      </x:c>
      <x:c r="N8" s="15" t="str">
        <x:v>Target after SQL + Python</x:v>
      </x:c>
      <x:c r="O8" s="15" t="str">
        <x:v>Build a CSV-to-database ETL script and create a simple dashboard.</x:v>
      </x:c>
      <x:c r="P8" s="52" t="n">
        <x:v>46182</x:v>
      </x:c>
      <x:c r="Q8" s="15" t="str">
        <x:v>The report says data-engineering postings repeatedly ask for SQL, Python, ETL, cloud platforms, Spark/Databricks, and pipeline work.</x:v>
      </x:c>
    </x:row>
    <x:row r="9" ht="42" customHeight="1">
      <x:c r="A9" s="15" t="str">
        <x:v>Python Developer</x:v>
      </x:c>
      <x:c r="B9" s="15" t="str">
        <x:v>Junior Python Developer</x:v>
      </x:c>
      <x:c r="C9" s="15" t="str">
        <x:v>Concept Plus</x:v>
      </x:c>
      <x:c r="D9" s="15" t="str">
        <x:v>Indeed listing</x:v>
      </x:c>
      <x:c r="E9" s="15" t="str">
        <x:v>https://www.indeed.com/viewjob?jk=ee582183cf460545</x:v>
      </x:c>
      <x:c r="F9" s="15" t="str">
        <x:v>Python backend development; APIs; testing; CI/CD; maintainable code; secure coding habits</x:v>
      </x:c>
      <x:c r="G9" s="15" t="str">
        <x:v>Python; REST APIs; Git; CI/CD; Docker; Linux</x:v>
      </x:c>
      <x:c r="H9" s="15" t="str">
        <x:v>At least 3 years listed despite junior title</x:v>
      </x:c>
      <x:c r="I9" s="15" t="str">
        <x:v>Computer science, IT, or equivalent experience often expected</x:v>
      </x:c>
      <x:c r="J9" s="15" t="str">
        <x:v>Security awareness helpful</x:v>
      </x:c>
      <x:c r="K9" s="15" t="str">
        <x:v>AI-adjacent</x:v>
      </x:c>
      <x:c r="L9" s="15" t="str">
        <x:v>Possibly</x:v>
      </x:c>
      <x:c r="M9" s="15" t="str">
        <x:v>Shows that 'junior' can still demand real experience.</x:v>
      </x:c>
      <x:c r="N9" s="15" t="str">
        <x:v>Target after portfolio proof</x:v>
      </x:c>
      <x:c r="O9" s="15" t="str">
        <x:v>Build a FastAPI app with tests, README, and deployment instructions.</x:v>
      </x:c>
      <x:c r="P9" s="52" t="n">
        <x:v>46182</x:v>
      </x:c>
      <x:c r="Q9" s="15" t="str">
        <x:v>The report notes Concept Plus asks for at least 3 years even though the title is Junior Python Developer.</x:v>
      </x:c>
    </x:row>
    <x:row r="10" ht="42" customHeight="1">
      <x:c r="A10" s="15" t="str">
        <x:v>Cloud Support Engineer</x:v>
      </x:c>
      <x:c r="B10" s="15" t="str">
        <x:v>Cloud Support Engineer - Support Engineering</x:v>
      </x:c>
      <x:c r="C10" s="15" t="str">
        <x:v>Amazon Web Services (AWS)</x:v>
      </x:c>
      <x:c r="D10" s="15" t="str">
        <x:v>United Kingdom / LinkedIn listing</x:v>
      </x:c>
      <x:c r="E10" s="15" t="str">
        <x:v>https://uk.linkedin.com/jobs/view/cloud-support-engineer-support-engineering-at-amazon-web-services-aws-4413756677</x:v>
      </x:c>
      <x:c r="F10" s="15" t="str">
        <x:v>Cloud troubleshooting; networking; Linux; logs; incident diagnosis; customer communication; service reliability</x:v>
      </x:c>
      <x:c r="G10" s="15" t="str">
        <x:v>AWS; Linux; networking; logs; monitoring/observability; ticketing</x:v>
      </x:c>
      <x:c r="H10" s="15" t="str">
        <x:v>Varies by team; support-engineering role</x:v>
      </x:c>
      <x:c r="I10" s="15" t="str">
        <x:v>Technical degree or equivalent practical experience often useful</x:v>
      </x:c>
      <x:c r="J10" s="15" t="str">
        <x:v>Security awareness helpful</x:v>
      </x:c>
      <x:c r="K10" s="15" t="str">
        <x:v>No</x:v>
      </x:c>
      <x:c r="L10" s="15" t="str">
        <x:v>Yes</x:v>
      </x:c>
      <x:c r="M10" s="15" t="str">
        <x:v>Strong route into cloud + operations, which supports AI deployment.</x:v>
      </x:c>
      <x:c r="N10" s="15" t="str">
        <x:v>Target after cloud basics</x:v>
      </x:c>
      <x:c r="O10" s="15" t="str">
        <x:v>Complete AWS Cloud Practitioner basics and document one cloud troubleshooting lab.</x:v>
      </x:c>
      <x:c r="P10" s="52" t="n">
        <x:v>46182</x:v>
      </x:c>
      <x:c r="Q10" s="15" t="str">
        <x:v>The report says cloud support roles combine customer-facing troubleshooting with infrastructure work, provisioning, logs, observability, SaaS operations, and AWS/Azure support.</x:v>
      </x:c>
    </x:row>
    <x:row r="11" ht="42" customHeight="1">
      <x:c r="A11" s="15" t="str">
        <x:v>AI Automation Developer</x:v>
      </x:c>
      <x:c r="B11" s="15" t="str">
        <x:v>AI Automation / Workflow Automation Engineer</x:v>
      </x:c>
      <x:c r="C11" s="15" t="str">
        <x:v>Adventus</x:v>
      </x:c>
      <x:c r="D11" s="15" t="str">
        <x:v>Lever listing</x:v>
      </x:c>
      <x:c r="E11" s="15" t="str">
        <x:v>https://jobs.lever.co/adventus/58e97d3e-a01f-49a4-80d2-155972373145</x:v>
      </x:c>
      <x:c r="F11" s="15" t="str">
        <x:v>Workflow automation; AI agents; API integration; RAG; business process design; enterprise integrations</x:v>
      </x:c>
      <x:c r="G11" s="15" t="str">
        <x:v>LLMs; APIs; automation platforms; n8n/Make/Zapier-style tools; CRM/workflow tools</x:v>
      </x:c>
      <x:c r="H11" s="15" t="str">
        <x:v>Not clearly junior; role title varies across market</x:v>
      </x:c>
      <x:c r="I11" s="15" t="str">
        <x:v>Degree helpful, but portfolio matters strongly</x:v>
      </x:c>
      <x:c r="J11" s="15" t="str">
        <x:v>Security awareness helpful</x:v>
      </x:c>
      <x:c r="K11" s="15" t="str">
        <x:v>Yes</x:v>
      </x:c>
      <x:c r="L11" s="15" t="str">
        <x:v>Yes</x:v>
      </x:c>
      <x:c r="M11" s="15" t="str">
        <x:v>Very close to your AI-agent/business automation direction.</x:v>
      </x:c>
      <x:c r="N11" s="15" t="str">
        <x:v>Target after automation demo</x:v>
      </x:c>
      <x:c r="O11" s="15" t="str">
        <x:v>Build an automation that reads a form, calls an AI model, stores output, and sends a draft response.</x:v>
      </x:c>
      <x:c r="P11" s="52" t="n">
        <x:v>46182</x:v>
      </x:c>
      <x:c r="Q11" s="15" t="str">
        <x:v>The report notes AI automation titles are fragmented under Applied AI Engineer, AI Automation Engineer, People Systems Builder, and GTM AI Automation.</x:v>
      </x:c>
    </x:row>
  </x:sheetData>
  <x:dataValidations count="4">
    <x:dataValidation type="list" sqref="J2:J11">
      <x:formula1>"Yes,No,Possibly,Basic security awareness,Security awareness helpful,AI-adjacent,Yes / SaaS"</x:formula1>
    </x:dataValidation>
    <x:dataValidation type="list" sqref="K2:K11">
      <x:formula1>"Yes,No,Possibly,Basic security awareness,Security awareness helpful,AI-adjacent,Yes / SaaS"</x:formula1>
    </x:dataValidation>
    <x:dataValidation type="list" sqref="L2:L11">
      <x:formula1>"Yes,No,Possibly,Basic security awareness,Security awareness helpful,AI-adjacent,Yes / SaaS"</x:formula1>
    </x:dataValidation>
    <x:dataValidation type="list" sqref="N2:N11">
      <x:formula1>"Target now with practice,Target after ML basics,Target after API + AI project,Target after cyber basics,Target after SQL + Python,Target after portfolio proof,Target after cloud basics,Target after automation demo,Target after 2-3 strong projects"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979163ab2a46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58" hidden="0" customWidth="1"/>
  </x:cols>
  <x:sheetData>
    <x:row r="1" ht="42" customHeight="1">
      <x:c r="A1" s="14" t="str">
        <x:v>Target Role Family</x:v>
      </x:c>
      <x:c r="B1" s="14" t="str">
        <x:v>Verified Postings Collected</x:v>
      </x:c>
      <x:c r="C1" s="14" t="str">
        <x:v>Strongest Recurring Signals</x:v>
      </x:c>
    </x:row>
    <x:row r="2" ht="42" customHeight="1">
      <x:c r="A2" s="15" t="str">
        <x:v>Junior AI Engineer</x:v>
      </x:c>
      <x:c r="B2" s="15" t="n">
        <x:v>6</x:v>
      </x:c>
      <x:c r="C2" s="15" t="str">
        <x:v>Python, RAG, LLMs, APIs, agent workflows, cloud familiarity</x:v>
      </x:c>
    </x:row>
    <x:row r="3" ht="42" customHeight="1">
      <x:c r="A3" s="15" t="str">
        <x:v>Junior Data Analyst</x:v>
      </x:c>
      <x:c r="B3" s="15" t="n">
        <x:v>6</x:v>
      </x:c>
      <x:c r="C3" s="15" t="str">
        <x:v>Reporting, dashboards, analytics, SQL/Excel, business insight</x:v>
      </x:c>
    </x:row>
    <x:row r="4" ht="42" customHeight="1">
      <x:c r="A4" s="15" t="str">
        <x:v>Machine Learning Engineer Intern</x:v>
      </x:c>
      <x:c r="B4" s="15" t="n">
        <x:v>8</x:v>
      </x:c>
      <x:c r="C4" s="15" t="str">
        <x:v>ML coding, experimentation, model engineering, CV/search/ads use cases</x:v>
      </x:c>
    </x:row>
    <x:row r="5" ht="42" customHeight="1">
      <x:c r="A5" s="15" t="str">
        <x:v>AI Software Developer</x:v>
      </x:c>
      <x:c r="B5" s="15" t="n">
        <x:v>7</x:v>
      </x:c>
      <x:c r="C5" s="15" t="str">
        <x:v>Applied AI, prompts, evals, agents, APIs, observability, delivery</x:v>
      </x:c>
    </x:row>
    <x:row r="6" ht="42" customHeight="1">
      <x:c r="A6" s="15" t="str">
        <x:v>Cybersecurity Analyst</x:v>
      </x:c>
      <x:c r="B6" s="15" t="n">
        <x:v>6</x:v>
      </x:c>
      <x:c r="C6" s="15" t="str">
        <x:v>Incident response, SIEM/SOAR, cloud identity, vulnerability management</x:v>
      </x:c>
    </x:row>
    <x:row r="7" ht="42" customHeight="1">
      <x:c r="A7" s="15" t="str">
        <x:v>IT Support Analyst</x:v>
      </x:c>
      <x:c r="B7" s="15" t="n">
        <x:v>7</x:v>
      </x:c>
      <x:c r="C7" s="15" t="str">
        <x:v>Troubleshooting, endpoint support, Microsoft 365, Intune, tickets, onboarding</x:v>
      </x:c>
    </x:row>
    <x:row r="8" ht="42" customHeight="1">
      <x:c r="A8" s="15" t="str">
        <x:v>Data Engineer</x:v>
      </x:c>
      <x:c r="B8" s="15" t="n">
        <x:v>7</x:v>
      </x:c>
      <x:c r="C8" s="15" t="str">
        <x:v>SQL, Python, ETL, Databricks/Spark, cloud, data integration</x:v>
      </x:c>
    </x:row>
    <x:row r="9" ht="42" customHeight="1">
      <x:c r="A9" s="15" t="str">
        <x:v>Python Developer</x:v>
      </x:c>
      <x:c r="B9" s="15" t="n">
        <x:v>7</x:v>
      </x:c>
      <x:c r="C9" s="15" t="str">
        <x:v>Backend services, APIs, CI/CD, data workflows, containers, secure coding</x:v>
      </x:c>
    </x:row>
    <x:row r="10" ht="42" customHeight="1">
      <x:c r="A10" s="15" t="str">
        <x:v>Cloud Support Engineer</x:v>
      </x:c>
      <x:c r="B10" s="15" t="n">
        <x:v>7</x:v>
      </x:c>
      <x:c r="C10" s="15" t="str">
        <x:v>Troubleshooting, SaaS/cloud operations, provisioning, observability, upgrades</x:v>
      </x:c>
    </x:row>
    <x:row r="11" ht="42" customHeight="1">
      <x:c r="A11" s="15" t="str">
        <x:v>AI Automation Developer</x:v>
      </x:c>
      <x:c r="B11" s="15" t="n">
        <x:v>6</x:v>
      </x:c>
      <x:c r="C11" s="15" t="str">
        <x:v>AI agents, workflow automation, APIs, RAG, enterprise integrations</x:v>
      </x:c>
    </x:row>
  </x:sheetData>
  <x:pageMargins left="0.7" right="0.7" top="0.75" bottom="0.75" header="0.3" footer="0.3"/>
  <x:drawing xmlns:r="http://schemas.openxmlformats.org/officeDocument/2006/relationships" r:id="R4273c10bacd74aed"/>
  <x:tableParts count="1">
    <x:tablePart xmlns:r="http://schemas.openxmlformats.org/officeDocument/2006/relationships" r:id="Rc8ca5bd9667347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16" hidden="0" customWidth="1"/>
    <x:col min="4" max="4" width="42" hidden="0" customWidth="1"/>
  </x:cols>
  <x:sheetData>
    <x:row r="1" ht="42" customHeight="1">
      <x:c r="A1" s="14" t="str">
        <x:v>Skill / Tool</x:v>
      </x:c>
      <x:c r="B1" s="14" t="str">
        <x:v>Why It Matters</x:v>
      </x:c>
      <x:c r="C1" s="14" t="str">
        <x:v>Priority</x:v>
      </x:c>
      <x:c r="D1" s="14" t="str">
        <x:v>Practice Output</x:v>
      </x:c>
    </x:row>
    <x:row r="2" ht="42" customHeight="1">
      <x:c r="A2" s="15" t="str">
        <x:v>Python</x:v>
      </x:c>
      <x:c r="B2" s="15" t="str">
        <x:v>Repeated across AI, data engineering, Python developer, and automation roles.</x:v>
      </x:c>
      <x:c r="C2" s="15" t="str">
        <x:v>High</x:v>
      </x:c>
      <x:c r="D2" s="15" t="str">
        <x:v>Build scripts, APIs, ETL, ML notebooks</x:v>
      </x:c>
    </x:row>
    <x:row r="3" ht="42" customHeight="1">
      <x:c r="A3" s="15" t="str">
        <x:v>SQL</x:v>
      </x:c>
      <x:c r="B3" s="15" t="str">
        <x:v>Needed for analyst and data-engineering paths; helps with business data.</x:v>
      </x:c>
      <x:c r="C3" s="15" t="str">
        <x:v>High</x:v>
      </x:c>
      <x:c r="D3" s="15" t="str">
        <x:v>Query a job-skills database</x:v>
      </x:c>
    </x:row>
    <x:row r="4" ht="42" customHeight="1">
      <x:c r="A4" s="15" t="str">
        <x:v>Git / GitHub</x:v>
      </x:c>
      <x:c r="B4" s="15" t="str">
        <x:v>Employers need proof you can manage code and show work.</x:v>
      </x:c>
      <x:c r="C4" s="15" t="str">
        <x:v>High</x:v>
      </x:c>
      <x:c r="D4" s="15" t="str">
        <x:v>Commit weekly portfolio updates</x:v>
      </x:c>
    </x:row>
    <x:row r="5" ht="42" customHeight="1">
      <x:c r="A5" s="15" t="str">
        <x:v>Linux</x:v>
      </x:c>
      <x:c r="B5" s="15" t="str">
        <x:v>Common in AI, cloud, support, backend, and security environments.</x:v>
      </x:c>
      <x:c r="C5" s="15" t="str">
        <x:v>High</x:v>
      </x:c>
      <x:c r="D5" s="15" t="str">
        <x:v>Use terminal commands and document setup</x:v>
      </x:c>
    </x:row>
    <x:row r="6" ht="42" customHeight="1">
      <x:c r="A6" s="15" t="str">
        <x:v>REST APIs</x:v>
      </x:c>
      <x:c r="B6" s="15" t="str">
        <x:v>AI systems and automations often connect to APIs/tools.</x:v>
      </x:c>
      <x:c r="C6" s="15" t="str">
        <x:v>High</x:v>
      </x:c>
      <x:c r="D6" s="15" t="str">
        <x:v>Build a FastAPI endpoint</x:v>
      </x:c>
    </x:row>
    <x:row r="7" ht="42" customHeight="1">
      <x:c r="A7" s="15" t="str">
        <x:v>RAG / Vector Search</x:v>
      </x:c>
      <x:c r="B7" s="15" t="str">
        <x:v>Core applied-AI pattern in junior AI postings.</x:v>
      </x:c>
      <x:c r="C7" s="15" t="str">
        <x:v>High</x:v>
      </x:c>
      <x:c r="D7" s="15" t="str">
        <x:v>Build document Q&amp;A assistant with sources</x:v>
      </x:c>
    </x:row>
    <x:row r="8" ht="42" customHeight="1">
      <x:c r="A8" s="15" t="str">
        <x:v>Cloud Platform</x:v>
      </x:c>
      <x:c r="B8" s="15" t="str">
        <x:v>AI/data/support roles increasingly mention AWS/Azure/GCP.</x:v>
      </x:c>
      <x:c r="C8" s="15" t="str">
        <x:v>High</x:v>
      </x:c>
      <x:c r="D8" s="15" t="str">
        <x:v>Deploy one small app</x:v>
      </x:c>
    </x:row>
    <x:row r="9" ht="42" customHeight="1">
      <x:c r="A9" s="15" t="str">
        <x:v>Docker</x:v>
      </x:c>
      <x:c r="B9" s="15" t="str">
        <x:v>Useful for packaging and deploying projects.</x:v>
      </x:c>
      <x:c r="C9" s="15" t="str">
        <x:v>Medium</x:v>
      </x:c>
      <x:c r="D9" s="15" t="str">
        <x:v>Dockerize one FastAPI app</x:v>
      </x:c>
    </x:row>
    <x:row r="10" ht="42" customHeight="1">
      <x:c r="A10" s="15" t="str">
        <x:v>Cybersecurity Basics</x:v>
      </x:c>
      <x:c r="B10" s="15" t="str">
        <x:v>AI projects need identity, secrets, logs, MFA, and risk thinking.</x:v>
      </x:c>
      <x:c r="C10" s="15" t="str">
        <x:v>High</x:v>
      </x:c>
      <x:c r="D10" s="15" t="str">
        <x:v>Write a threat model for one AI app</x:v>
      </x:c>
    </x:row>
    <x:row r="11" ht="42" customHeight="1">
      <x:c r="A11" s="15" t="str">
        <x:v>Documentation</x:v>
      </x:c>
      <x:c r="B11" s="15" t="str">
        <x:v>Every role rewards clear explanation and handover.</x:v>
      </x:c>
      <x:c r="C11" s="15" t="str">
        <x:v>High</x:v>
      </x:c>
      <x:c r="D11" s="15" t="str">
        <x:v>Write README + troubleshooting notes</x:v>
      </x:c>
    </x:row>
    <x:row r="12" ht="42" customHeight="1">
      <x:c r="A12" s="15" t="str">
        <x:v>Troubleshooting</x:v>
      </x:c>
      <x:c r="B12" s="15" t="str">
        <x:v>Support, cloud, cyber, and real AI deployment all require debugging.</x:v>
      </x:c>
      <x:c r="C12" s="15" t="str">
        <x:v>High</x:v>
      </x:c>
      <x:c r="D12" s="15" t="str">
        <x:v>Create issue/fix logs</x:v>
      </x:c>
    </x:row>
    <x:row r="13" ht="42" customHeight="1">
      <x:c r="A13" s="15" t="str">
        <x:v>Dashboards / Reporting</x:v>
      </x:c>
      <x:c r="B13" s="15" t="str">
        <x:v>Useful for data analyst, business, and management growth.</x:v>
      </x:c>
      <x:c r="C13" s="15" t="str">
        <x:v>Medium</x:v>
      </x:c>
      <x:c r="D13" s="15" t="str">
        <x:v>Make Power BI or web dashboard</x:v>
      </x:c>
    </x:row>
  </x:sheetData>
  <x:conditionalFormatting sqref="C2:C13">
    <x:cfRule type="expression" dxfId="0" priority="1">
      <x:formula>C2="High"</x:formula>
    </x:cfRule>
    <x:cfRule type="expression" dxfId="1" priority="2">
      <x:formula>C2="Medium"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a348eb1dc24f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5" hidden="0" customWidth="1"/>
    <x:col min="4" max="4" width="45" hidden="0" customWidth="1"/>
  </x:cols>
  <x:sheetData>
    <x:row r="1" ht="42" customHeight="1">
      <x:c r="A1" s="14" t="str">
        <x:v>Period</x:v>
      </x:c>
      <x:c r="B1" s="14" t="str">
        <x:v>Main Focus</x:v>
      </x:c>
      <x:c r="C1" s="14" t="str">
        <x:v>What To Build</x:v>
      </x:c>
      <x:c r="D1" s="14" t="str">
        <x:v>Portfolio Evidence</x:v>
      </x:c>
    </x:row>
    <x:row r="2" ht="42" customHeight="1">
      <x:c r="A2" s="15" t="str">
        <x:v>Jun 2026 - Aug 2026</x:v>
      </x:c>
      <x:c r="B2" s="15" t="str">
        <x:v>Python, SQL, Git, Linux, APIs</x:v>
      </x:c>
      <x:c r="C2" s="15" t="str">
        <x:v>Python API project + ETL/reporting project</x:v>
      </x:c>
      <x:c r="D2" s="15" t="str">
        <x:v>Two GitHub repos with README, screenshots, setup steps</x:v>
      </x:c>
    </x:row>
    <x:row r="3" ht="42" customHeight="1">
      <x:c r="A3" s="15" t="str">
        <x:v>Sep 2026 - Nov 2026</x:v>
      </x:c>
      <x:c r="B3" s="15" t="str">
        <x:v>Data + Cloud + Docker</x:v>
      </x:c>
      <x:c r="C3" s="15" t="str">
        <x:v>Data pipeline with PostgreSQL + Dockerized app on AWS/Azure</x:v>
      </x:c>
      <x:c r="D3" s="15" t="str">
        <x:v>Deployed demo, architecture diagram, short write-up</x:v>
      </x:c>
    </x:row>
    <x:row r="4" ht="42" customHeight="1">
      <x:c r="A4" s="15" t="str">
        <x:v>Dec 2026 - Feb 2027</x:v>
      </x:c>
      <x:c r="B4" s="15" t="str">
        <x:v>Applied AI</x:v>
      </x:c>
      <x:c r="C4" s="15" t="str">
        <x:v>RAG chatbot + workflow agent that calls APIs/tools</x:v>
      </x:c>
      <x:c r="D4" s="15" t="str">
        <x:v>Portfolio section showing prompts, evals, latency, and failure cases</x:v>
      </x:c>
    </x:row>
    <x:row r="5" ht="42" customHeight="1">
      <x:c r="A5" s="15" t="str">
        <x:v>Mar 2027 - Apr 2027</x:v>
      </x:c>
      <x:c r="B5" s="15" t="str">
        <x:v>AI with cybersecurity awareness</x:v>
      </x:c>
      <x:c r="C5" s="15" t="str">
        <x:v>Add auth, secrets handling, logs, guardrails, threat model</x:v>
      </x:c>
      <x:c r="D5" s="15" t="str">
        <x:v>Security-aware case study for interviews</x:v>
      </x:c>
    </x:row>
    <x:row r="6" ht="42" customHeight="1">
      <x:c r="A6" s="15" t="str">
        <x:v>May 2027</x:v>
      </x:c>
      <x:c r="B6" s="15" t="str">
        <x:v>Job hunt sprint</x:v>
      </x:c>
      <x:c r="C6" s="15" t="str">
        <x:v>Polish CV, LinkedIn, GitHub, and tracker; tailor applications</x:v>
      </x:c>
      <x:c r="D6" s="15" t="str">
        <x:v>Repeatable application system and interview demo pack</x:v>
      </x:c>
    </x:row>
  </x:sheetData>
  <x:pageMargins left="0.7" right="0.7" top="0.75" bottom="0.75" header="0.3" footer="0.3"/>
  <x:tableParts count="1">
    <x:tablePart xmlns:r="http://schemas.openxmlformats.org/officeDocument/2006/relationships" r:id="R39672b1851d04b9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38" hidden="0" customWidth="1"/>
  </x:cols>
  <x:sheetData>
    <x:row r="1" ht="42" customHeight="1">
      <x:c r="A1" s="14" t="str">
        <x:v>Reference</x:v>
      </x:c>
      <x:c r="B1" s="14" t="str">
        <x:v>URL</x:v>
      </x:c>
      <x:c r="C1" s="14" t="str">
        <x:v>Purpose</x:v>
      </x:c>
    </x:row>
    <x:row r="2" ht="42" customHeight="1">
      <x:c r="A2" s="15" t="str">
        <x:v>Deep Research Report</x:v>
      </x:c>
      <x:c r="B2" s="15" t="str">
        <x:v>User-uploaded DOCX: Job Market Reality Check for Your BSc IT Path Into AI</x:v>
      </x:c>
      <x:c r="C2" s="15" t="str">
        <x:v>Base research summary for job tracker and role-family signals</x:v>
      </x:c>
    </x:row>
    <x:row r="3" ht="42" customHeight="1">
      <x:c r="A3" s="15" t="str">
        <x:v>Onto Innovation Junior AI Engineer</x:v>
      </x:c>
      <x:c r="B3" s="15" t="str">
        <x:v>https://www.linkedin.com/jobs/view/junior-ai-engineer-at-onto-innovation-4310893067</x:v>
      </x:c>
      <x:c r="C3" s="15" t="str">
        <x:v>Junior AI benchmark</x:v>
      </x:c>
    </x:row>
    <x:row r="4" ht="42" customHeight="1">
      <x:c r="A4" s="15" t="str">
        <x:v>eClerx Junior AI Engineer</x:v>
      </x:c>
      <x:c r="B4" s="15" t="str">
        <x:v>https://www.linkedin.com/jobs/view/junior-ai-engineer-at-eclerx-4398561767</x:v>
      </x:c>
      <x:c r="C4" s="15" t="str">
        <x:v>AI/RAG/tool-calling market signal</x:v>
      </x:c>
    </x:row>
    <x:row r="5" ht="42" customHeight="1">
      <x:c r="A5" s="15" t="str">
        <x:v>Crédit Agricole CIB Junior AI Engineer</x:v>
      </x:c>
      <x:c r="B5" s="15" t="str">
        <x:v>https://sg.linkedin.com/jobs/view/junior-ai-engineer-at-cr%C3%A9dit-agricole-cib-4395034263</x:v>
      </x:c>
      <x:c r="C5" s="15" t="str">
        <x:v>AI agents/RAG/API deployment market signal</x:v>
      </x:c>
    </x:row>
    <x:row r="6" ht="42" customHeight="1">
      <x:c r="A6" s="15" t="str">
        <x:v>ValGenesis Junior AI/ML Engineer</x:v>
      </x:c>
      <x:c r="B6" s="15" t="str">
        <x:v>https://jobs.lever.co/valgenesis/71c1f6d6-2a22-437c-abe2-bfeb362f58cc</x:v>
      </x:c>
      <x:c r="C6" s="15" t="str">
        <x:v>Junior AI/ML skill and experience signal</x:v>
      </x:c>
    </x:row>
    <x:row r="7" ht="42" customHeight="1">
      <x:c r="A7" s="15" t="str">
        <x:v>TikTok ML Engineer Intern</x:v>
      </x:c>
      <x:c r="B7" s="15" t="str">
        <x:v>https://www.linkedin.com/jobs/view/machine-learning-engineer-intern-monetization-technology-ads-creative-ai-2026-summer-bs-ms-at-tiktok-4281378727</x:v>
      </x:c>
      <x:c r="C7" s="15" t="str">
        <x:v>Student internship signal</x:v>
      </x:c>
    </x:row>
    <x:row r="8" ht="42" customHeight="1">
      <x:c r="A8" s="15" t="str">
        <x:v>Shopee Graduate Cybersecurity</x:v>
      </x:c>
      <x:c r="B8" s="15" t="str">
        <x:v>https://sg.linkedin.com/jobs/view/it-compliance-cybersecurity-analyst-financial-service-2026-graduate-at-shopee-4278177431</x:v>
      </x:c>
      <x:c r="C8" s="15" t="str">
        <x:v>Graduate cyber entry point</x:v>
      </x:c>
    </x:row>
    <x:row r="9" ht="42" customHeight="1">
      <x:c r="A9" s="15" t="str">
        <x:v>Emonics Entry-Level Data Engineer</x:v>
      </x:c>
      <x:c r="B9" s="15" t="str">
        <x:v>https://www.linkedin.com/jobs/view/entry-level-data-engineer-at-emonics-llc-4424426853</x:v>
      </x:c>
      <x:c r="C9" s="15" t="str">
        <x:v>Entry-level data engineering signal</x:v>
      </x:c>
    </x:row>
    <x:row r="10" ht="42" customHeight="1">
      <x:c r="A10" s="15" t="str">
        <x:v>AWS Cloud Support Engineer</x:v>
      </x:c>
      <x:c r="B10" s="15" t="str">
        <x:v>https://uk.linkedin.com/jobs/view/cloud-support-engineer-support-engineering-at-amazon-web-services-aws-4413756677</x:v>
      </x:c>
      <x:c r="C10" s="15" t="str">
        <x:v>Cloud support skill signal</x:v>
      </x:c>
    </x:row>
    <x:row r="11" ht="42" customHeight="1">
      <x:c r="A11" s="15" t="str">
        <x:v>Panopto Technical Support Engineer</x:v>
      </x:c>
      <x:c r="B11" s="15" t="str">
        <x:v>https://jobs.lever.co/panopto/4c4fe959-597b-493f-bc08-a3a268153a32</x:v>
      </x:c>
      <x:c r="C11" s="15" t="str">
        <x:v>Support/troubleshooting skill signal</x:v>
      </x:c>
    </x:row>
    <x:row r="12" ht="42" customHeight="1">
      <x:c r="A12" s="15" t="str">
        <x:v>Adventus Automation / AI Workflows</x:v>
      </x:c>
      <x:c r="B12" s="15" t="str">
        <x:v>https://jobs.lever.co/adventus/58e97d3e-a01f-49a4-80d2-155972373145</x:v>
      </x:c>
      <x:c r="C12" s="15" t="str">
        <x:v>AI automation/workflow skill signal</x:v>
      </x:c>
    </x:row>
    <x:row r="13" ht="42" customHeight="1">
      <x:c r="A13" s="15" t="str">
        <x:v>SolidCAM Applied AI Entry-Level</x:v>
      </x:c>
      <x:c r="B13" s="15" t="str">
        <x:v>https://www.linkedin.com/jobs/view/software-engineer-%E2%80%93-applied-ai-prototyping-engineer-entry-level-at-solidcam-gmbh-4401827536</x:v>
      </x:c>
      <x:c r="C13" s="15" t="str">
        <x:v>Applied AI entry-level signal</x:v>
      </x:c>
    </x:row>
  </x:sheetData>
  <x:pageMargins left="0.7" right="0.7" top="0.75" bottom="0.75" header="0.3" footer="0.3"/>
  <x:tableParts count="1">
    <x:tablePart xmlns:r="http://schemas.openxmlformats.org/officeDocument/2006/relationships" r:id="R4733d3ee3fe9452e"/>
  </x:tableParts>
</x:worksheet>
</file>